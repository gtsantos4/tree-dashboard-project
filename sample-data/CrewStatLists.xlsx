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ytc1.sharepoint.com/sites/CompanyFiles/Reporting/"/>
    </mc:Choice>
  </mc:AlternateContent>
  <xr:revisionPtr revIDLastSave="131" documentId="8_{902D2977-58AE-4053-A1ED-65E0EDD31715}" xr6:coauthVersionLast="47" xr6:coauthVersionMax="47" xr10:uidLastSave="{7E5515B6-2A66-4DFB-9211-76092ADC574E}"/>
  <bookViews>
    <workbookView xWindow="-120" yWindow="-120" windowWidth="29040" windowHeight="15720" activeTab="4" xr2:uid="{51F9215A-8FFC-4233-B3E4-5D658B31B071}"/>
  </bookViews>
  <sheets>
    <sheet name="EstHrsGoals (2)" sheetId="5" r:id="rId1"/>
    <sheet name="QC" sheetId="1" r:id="rId2"/>
    <sheet name="CB" sheetId="2" r:id="rId3"/>
    <sheet name="Compliments" sheetId="3" r:id="rId4"/>
    <sheet name="EstHrsGoal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E7" i="4"/>
  <c r="D7" i="4"/>
  <c r="C7" i="4"/>
  <c r="F4" i="4"/>
  <c r="E4" i="4"/>
  <c r="D4" i="4"/>
  <c r="C4" i="4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<sst xmlns="http://schemas.openxmlformats.org/spreadsheetml/2006/main" count="69" uniqueCount="32">
  <si>
    <t>PerMonth</t>
  </si>
  <si>
    <t>Percent</t>
  </si>
  <si>
    <t>A+</t>
  </si>
  <si>
    <t>A</t>
  </si>
  <si>
    <t>A-</t>
  </si>
  <si>
    <t>B+</t>
  </si>
  <si>
    <t>B-</t>
  </si>
  <si>
    <t>C+</t>
  </si>
  <si>
    <t>C</t>
  </si>
  <si>
    <t>C-</t>
  </si>
  <si>
    <t>D+</t>
  </si>
  <si>
    <t>D</t>
  </si>
  <si>
    <t>D-</t>
  </si>
  <si>
    <t>F</t>
  </si>
  <si>
    <t>Grade</t>
  </si>
  <si>
    <t>Z</t>
  </si>
  <si>
    <t>B</t>
  </si>
  <si>
    <t>E</t>
  </si>
  <si>
    <t>&gt;=10</t>
  </si>
  <si>
    <t>Interval</t>
  </si>
  <si>
    <t>PHC</t>
  </si>
  <si>
    <t>Trees</t>
  </si>
  <si>
    <t>All</t>
  </si>
  <si>
    <t>Type</t>
  </si>
  <si>
    <t>Scheduling</t>
  </si>
  <si>
    <t>Actual</t>
  </si>
  <si>
    <t>Day</t>
  </si>
  <si>
    <t>Week</t>
  </si>
  <si>
    <t>Month</t>
  </si>
  <si>
    <t>Year</t>
  </si>
  <si>
    <t>Order</t>
  </si>
  <si>
    <t>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</si>
</sst>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sz val="11"/>
      <color rgb="FF00206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0" fillId="0" borderId="0" xfId="0" quotePrefix="1" applyAlignment="1">
      <alignment horizontal="right"/>
    </xf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11"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3" formatCode="0%"/>
    </dxf>
    <dxf>
      <numFmt numFmtId="13" formatCode="0%"/>
    </dxf>
    <dxf>
      <numFmt numFmtId="13" formatCode="0%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09913A-5378-46EF-81FF-9BCFD46F023F}" name="SchedGoals6" displayName="SchedGoals6" ref="A1:F9" totalsRowShown="0">
  <autoFilter ref="A1:F9" xr:uid="{4C17A1BC-10F1-4113-8B5F-68D49C0E0E1E}"/>
  <tableColumns count="6">
    <tableColumn id="1" xr3:uid="{0F013C7A-F25F-48A1-90C2-47014F6C8982}" name="Interval"/>
    <tableColumn id="5" xr3:uid="{CD10EB08-3D95-48FC-9A98-65D48E5338A1}" name="Type"/>
    <tableColumn id="2" xr3:uid="{1AECCF0A-1AB9-4559-B010-C2DC3A4F929E}" name="Trees" dataDxfId="10"/>
    <tableColumn id="3" xr3:uid="{FDF29BB3-3397-4472-8DD4-B2133AC1FE54}" name="PHC" dataDxfId="9"/>
    <tableColumn id="4" xr3:uid="{E9B18B2F-2083-4A4C-BD88-2B0523E87EAC}" name="All" dataDxfId="8">
      <calculatedColumnFormula>SUM(C2:D2)</calculatedColumnFormula>
    </tableColumn>
    <tableColumn id="6" xr3:uid="{1103CB59-FA43-4C43-87CD-E7F6571975A1}" name="Order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098467-8F5C-44D1-94FB-858ADB150CDF}" name="QualityGrade" displayName="QualityGrade" ref="A1:B15" totalsRowShown="0">
  <autoFilter ref="A1:B15" xr:uid="{93098467-8F5C-44D1-94FB-858ADB150CDF}"/>
  <tableColumns count="2">
    <tableColumn id="1" xr3:uid="{BF333648-99A4-477F-A02C-AB0068113EBC}" name="Grade"/>
    <tableColumn id="2" xr3:uid="{447C0DFF-25FC-49B6-8354-77550DF47F5D}" name="Percent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52FA3-E715-4A8C-94D2-4509AA78244C}" name="CBScale" displayName="CBScale" ref="A1:C7" totalsRowShown="0">
  <autoFilter ref="A1:C7" xr:uid="{57E52FA3-E715-4A8C-94D2-4509AA78244C}"/>
  <tableColumns count="3">
    <tableColumn id="1" xr3:uid="{D60C7DD2-FE9C-4D83-ADD8-7FAF03AC6070}" name="PerMonth"/>
    <tableColumn id="2" xr3:uid="{E4C079D3-8224-483F-A49C-33898C09C3C1}" name="Percent" dataDxfId="5"/>
    <tableColumn id="3" xr3:uid="{4905587B-1051-4DFB-9B81-69A268305D4A}" name="Gra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A39DE9-701E-4935-AE0A-0646E009FE60}" name="ComplimentScale" displayName="ComplimentScale" ref="A1:B12" totalsRowShown="0">
  <autoFilter ref="A1:B12" xr:uid="{03A39DE9-701E-4935-AE0A-0646E009FE60}"/>
  <tableColumns count="2">
    <tableColumn id="1" xr3:uid="{A133A9B8-FF67-4DB8-9056-AB12106C5070}" name="PerMonth"/>
    <tableColumn id="2" xr3:uid="{DAF60D2E-65AE-43F9-B4CA-660CDEFE06D9}" name="Percent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17A1BC-10F1-4113-8B5F-68D49C0E0E1E}" name="SchedGoals" displayName="SchedGoals" ref="A1:G7" totalsRowShown="0">
  <autoFilter ref="A1:G7" xr:uid="{4C17A1BC-10F1-4113-8B5F-68D49C0E0E1E}"/>
  <tableColumns count="7">
    <tableColumn id="1" xr3:uid="{2C9F83F9-7B06-4DF0-B877-8DE4101E6211}" name="Operation"/>
    <tableColumn id="5" xr3:uid="{68C29A7D-7F83-409F-84A6-995B912F0F11}" name="Type"/>
    <tableColumn id="8" xr3:uid="{5C3BA8C7-6CA8-405C-81DF-BEDECF7F5D46}" name="Day"/>
    <tableColumn id="2" xr3:uid="{38DA8EB8-C479-4C33-B41A-C5FB86388C6B}" name="Week" dataDxfId="3"/>
    <tableColumn id="3" xr3:uid="{5010073B-D9B8-4968-A050-79FEFF68A833}" name="Month" dataDxfId="2"/>
    <tableColumn id="4" xr3:uid="{F0CC73DB-379B-49F6-888C-66813F1B19A1}" name="Year" dataDxfId="1"/>
    <tableColumn id="6" xr3:uid="{09CE2BEF-EBBC-4DA6-B8A7-2A572F058832}" name="Ord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56EF-F055-414B-9915-AC32C8CD45D6}">
  <dimension ref="A1:F9"/>
  <sheetViews>
    <sheetView workbookViewId="0">
      <selection sqref="A1:F9"/>
    </sheetView>
  </sheetViews>
  <sheetFormatPr defaultRowHeight="15" x14ac:dyDescent="0.25"/>
  <cols>
    <col min="1" max="2" width="15.7109375" customWidth="1"/>
    <col min="3" max="3" width="10.28515625" customWidth="1"/>
  </cols>
  <sheetData>
    <row r="1" spans="1:6" x14ac:dyDescent="0.25">
      <c r="A1" t="s">
        <v>19</v>
      </c>
      <c r="B1" t="s">
        <v>23</v>
      </c>
      <c r="C1" t="s">
        <v>21</v>
      </c>
      <c r="D1" t="s">
        <v>20</v>
      </c>
      <c r="E1" t="s">
        <v>22</v>
      </c>
      <c r="F1" t="s">
        <v>30</v>
      </c>
    </row>
    <row r="2" spans="1:6" x14ac:dyDescent="0.25">
      <c r="A2" t="s">
        <v>26</v>
      </c>
      <c r="B2" t="s">
        <v>24</v>
      </c>
      <c r="C2" s="3">
        <v>60</v>
      </c>
      <c r="D2" s="3">
        <v>10</v>
      </c>
      <c r="E2" s="3">
        <f>SUM(C2:D2)</f>
        <v>70</v>
      </c>
      <c r="F2" s="3">
        <v>1</v>
      </c>
    </row>
    <row r="3" spans="1:6" x14ac:dyDescent="0.25">
      <c r="A3" t="s">
        <v>27</v>
      </c>
      <c r="B3" t="s">
        <v>24</v>
      </c>
      <c r="C3" s="3">
        <v>295</v>
      </c>
      <c r="D3" s="3">
        <v>48</v>
      </c>
      <c r="E3" s="3">
        <f>SUM(C3:D3)</f>
        <v>343</v>
      </c>
      <c r="F3" s="3">
        <v>2</v>
      </c>
    </row>
    <row r="4" spans="1:6" x14ac:dyDescent="0.25">
      <c r="A4" t="s">
        <v>28</v>
      </c>
      <c r="B4" t="s">
        <v>24</v>
      </c>
      <c r="C4" s="3">
        <v>1180</v>
      </c>
      <c r="D4" s="3">
        <v>191</v>
      </c>
      <c r="E4" s="3">
        <f t="shared" ref="E4:E5" si="0">SUM(C4:D4)</f>
        <v>1371</v>
      </c>
      <c r="F4" s="3">
        <v>3</v>
      </c>
    </row>
    <row r="5" spans="1:6" x14ac:dyDescent="0.25">
      <c r="A5" t="s">
        <v>29</v>
      </c>
      <c r="B5" t="s">
        <v>24</v>
      </c>
      <c r="C5" s="4">
        <v>13600.9</v>
      </c>
      <c r="D5" s="3">
        <v>2097.1999999999998</v>
      </c>
      <c r="E5" s="3">
        <f t="shared" si="0"/>
        <v>15698.099999999999</v>
      </c>
      <c r="F5" s="3">
        <v>4</v>
      </c>
    </row>
    <row r="6" spans="1:6" x14ac:dyDescent="0.25">
      <c r="A6" t="s">
        <v>26</v>
      </c>
      <c r="B6" t="s">
        <v>25</v>
      </c>
      <c r="C6" s="3">
        <v>51.7</v>
      </c>
      <c r="D6" s="3">
        <v>8.1</v>
      </c>
      <c r="E6" s="3">
        <f>SUM(C6:D6)</f>
        <v>59.800000000000004</v>
      </c>
      <c r="F6" s="3">
        <v>1</v>
      </c>
    </row>
    <row r="7" spans="1:6" x14ac:dyDescent="0.25">
      <c r="A7" t="s">
        <v>27</v>
      </c>
      <c r="B7" t="s">
        <v>25</v>
      </c>
      <c r="C7" s="3">
        <v>258.39999999999998</v>
      </c>
      <c r="D7" s="3">
        <v>40.4</v>
      </c>
      <c r="E7" s="3">
        <f>SUM(C7:D7)</f>
        <v>298.79999999999995</v>
      </c>
      <c r="F7" s="3">
        <v>2</v>
      </c>
    </row>
    <row r="8" spans="1:6" x14ac:dyDescent="0.25">
      <c r="A8" t="s">
        <v>28</v>
      </c>
      <c r="B8" t="s">
        <v>25</v>
      </c>
      <c r="C8" s="3">
        <v>1020.7</v>
      </c>
      <c r="D8" s="3">
        <v>159.6</v>
      </c>
      <c r="E8" s="3">
        <f t="shared" ref="E8:E9" si="1">SUM(C8:D8)</f>
        <v>1180.3</v>
      </c>
      <c r="F8" s="3">
        <v>3</v>
      </c>
    </row>
    <row r="9" spans="1:6" x14ac:dyDescent="0.25">
      <c r="A9" t="s">
        <v>29</v>
      </c>
      <c r="B9" t="s">
        <v>25</v>
      </c>
      <c r="C9" s="4">
        <v>11838.7</v>
      </c>
      <c r="D9" s="3">
        <v>1759</v>
      </c>
      <c r="E9" s="3">
        <f t="shared" si="1"/>
        <v>13597.7</v>
      </c>
      <c r="F9" s="3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4611-2D68-4DFD-B859-A0EB3778BB0A}">
  <dimension ref="A1:B15"/>
  <sheetViews>
    <sheetView workbookViewId="0">
      <selection activeCell="A2" sqref="A2:B15"/>
    </sheetView>
  </sheetViews>
  <sheetFormatPr defaultRowHeight="15" x14ac:dyDescent="0.25"/>
  <sheetData>
    <row r="1" spans="1:2" x14ac:dyDescent="0.25">
      <c r="A1" t="s">
        <v>14</v>
      </c>
      <c r="B1" t="s">
        <v>1</v>
      </c>
    </row>
    <row r="2" spans="1:2" x14ac:dyDescent="0.25">
      <c r="A2" t="s">
        <v>2</v>
      </c>
      <c r="B2" s="1">
        <v>1</v>
      </c>
    </row>
    <row r="3" spans="1:2" x14ac:dyDescent="0.25">
      <c r="A3" t="s">
        <v>3</v>
      </c>
      <c r="B3" s="1">
        <v>0.95</v>
      </c>
    </row>
    <row r="4" spans="1:2" x14ac:dyDescent="0.25">
      <c r="A4" t="s">
        <v>4</v>
      </c>
      <c r="B4" s="1">
        <v>0.92</v>
      </c>
    </row>
    <row r="5" spans="1:2" x14ac:dyDescent="0.25">
      <c r="A5" t="s">
        <v>5</v>
      </c>
      <c r="B5" s="1">
        <v>0.88</v>
      </c>
    </row>
    <row r="6" spans="1:2" x14ac:dyDescent="0.25">
      <c r="A6" t="s">
        <v>16</v>
      </c>
      <c r="B6" s="1">
        <v>0.85</v>
      </c>
    </row>
    <row r="7" spans="1:2" x14ac:dyDescent="0.25">
      <c r="A7" t="s">
        <v>6</v>
      </c>
      <c r="B7" s="1">
        <v>0.82</v>
      </c>
    </row>
    <row r="8" spans="1:2" x14ac:dyDescent="0.25">
      <c r="A8" t="s">
        <v>7</v>
      </c>
      <c r="B8" s="1">
        <v>0.78</v>
      </c>
    </row>
    <row r="9" spans="1:2" x14ac:dyDescent="0.25">
      <c r="A9" t="s">
        <v>8</v>
      </c>
      <c r="B9" s="1">
        <v>0.75</v>
      </c>
    </row>
    <row r="10" spans="1:2" x14ac:dyDescent="0.25">
      <c r="A10" t="s">
        <v>9</v>
      </c>
      <c r="B10" s="1">
        <v>0.72</v>
      </c>
    </row>
    <row r="11" spans="1:2" x14ac:dyDescent="0.25">
      <c r="A11" t="s">
        <v>10</v>
      </c>
      <c r="B11" s="1">
        <v>0.68</v>
      </c>
    </row>
    <row r="12" spans="1:2" x14ac:dyDescent="0.25">
      <c r="A12" t="s">
        <v>11</v>
      </c>
      <c r="B12" s="1">
        <v>0.65</v>
      </c>
    </row>
    <row r="13" spans="1:2" x14ac:dyDescent="0.25">
      <c r="A13" t="s">
        <v>12</v>
      </c>
      <c r="B13" s="1">
        <v>0.62</v>
      </c>
    </row>
    <row r="14" spans="1:2" x14ac:dyDescent="0.25">
      <c r="A14" t="s">
        <v>13</v>
      </c>
      <c r="B14" s="1">
        <v>0.5</v>
      </c>
    </row>
    <row r="15" spans="1:2" x14ac:dyDescent="0.25">
      <c r="A15" t="s">
        <v>15</v>
      </c>
      <c r="B15" s="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76F2B-8DF6-4950-86F6-62653DFB8207}">
  <dimension ref="A1:C7"/>
  <sheetViews>
    <sheetView workbookViewId="0">
      <selection activeCell="C6" sqref="A2:C7"/>
    </sheetView>
  </sheetViews>
  <sheetFormatPr defaultRowHeight="15" x14ac:dyDescent="0.25"/>
  <cols>
    <col min="1" max="1" width="10.85546875" customWidth="1"/>
  </cols>
  <sheetData>
    <row r="1" spans="1:3" x14ac:dyDescent="0.25">
      <c r="A1" t="s">
        <v>0</v>
      </c>
      <c r="B1" t="s">
        <v>1</v>
      </c>
      <c r="C1" t="s">
        <v>14</v>
      </c>
    </row>
    <row r="2" spans="1:3" x14ac:dyDescent="0.25">
      <c r="A2">
        <v>0</v>
      </c>
      <c r="B2" s="1">
        <v>1</v>
      </c>
      <c r="C2" t="s">
        <v>3</v>
      </c>
    </row>
    <row r="3" spans="1:3" x14ac:dyDescent="0.25">
      <c r="A3">
        <v>1</v>
      </c>
      <c r="B3" s="1">
        <v>0.9</v>
      </c>
      <c r="C3" t="s">
        <v>16</v>
      </c>
    </row>
    <row r="4" spans="1:3" x14ac:dyDescent="0.25">
      <c r="A4">
        <v>2</v>
      </c>
      <c r="B4" s="1">
        <v>0.8</v>
      </c>
      <c r="C4" t="s">
        <v>8</v>
      </c>
    </row>
    <row r="5" spans="1:3" x14ac:dyDescent="0.25">
      <c r="A5">
        <v>3</v>
      </c>
      <c r="B5" s="1">
        <v>0.7</v>
      </c>
      <c r="C5" t="s">
        <v>11</v>
      </c>
    </row>
    <row r="6" spans="1:3" x14ac:dyDescent="0.25">
      <c r="A6">
        <v>4</v>
      </c>
      <c r="B6" s="1">
        <v>0.6</v>
      </c>
      <c r="C6" t="s">
        <v>17</v>
      </c>
    </row>
    <row r="7" spans="1:3" x14ac:dyDescent="0.25">
      <c r="A7">
        <v>5</v>
      </c>
      <c r="B7" s="1">
        <v>0.5</v>
      </c>
      <c r="C7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441D4-D916-4CB3-BA69-DB1F1EC58B09}">
  <dimension ref="A1:B12"/>
  <sheetViews>
    <sheetView workbookViewId="0">
      <selection sqref="A1:B12"/>
    </sheetView>
  </sheetViews>
  <sheetFormatPr defaultRowHeight="15" x14ac:dyDescent="0.25"/>
  <cols>
    <col min="1" max="1" width="10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 t="s">
        <v>18</v>
      </c>
      <c r="B2" s="1">
        <v>1</v>
      </c>
    </row>
    <row r="3" spans="1:2" x14ac:dyDescent="0.25">
      <c r="A3">
        <v>9</v>
      </c>
      <c r="B3" s="1">
        <v>0.95</v>
      </c>
    </row>
    <row r="4" spans="1:2" x14ac:dyDescent="0.25">
      <c r="A4">
        <v>8</v>
      </c>
      <c r="B4" s="1">
        <v>0.9</v>
      </c>
    </row>
    <row r="5" spans="1:2" x14ac:dyDescent="0.25">
      <c r="A5">
        <v>7</v>
      </c>
      <c r="B5" s="1">
        <v>0.85</v>
      </c>
    </row>
    <row r="6" spans="1:2" x14ac:dyDescent="0.25">
      <c r="A6">
        <v>6</v>
      </c>
      <c r="B6" s="1">
        <v>0.8</v>
      </c>
    </row>
    <row r="7" spans="1:2" x14ac:dyDescent="0.25">
      <c r="A7">
        <v>5</v>
      </c>
      <c r="B7" s="1">
        <v>0.75</v>
      </c>
    </row>
    <row r="8" spans="1:2" x14ac:dyDescent="0.25">
      <c r="A8">
        <v>4</v>
      </c>
      <c r="B8" s="1">
        <v>0.7</v>
      </c>
    </row>
    <row r="9" spans="1:2" x14ac:dyDescent="0.25">
      <c r="A9">
        <v>3</v>
      </c>
      <c r="B9" s="1">
        <v>0.65</v>
      </c>
    </row>
    <row r="10" spans="1:2" x14ac:dyDescent="0.25">
      <c r="A10">
        <v>2</v>
      </c>
      <c r="B10" s="1">
        <v>0.6</v>
      </c>
    </row>
    <row r="11" spans="1:2" x14ac:dyDescent="0.25">
      <c r="A11">
        <v>1</v>
      </c>
      <c r="B11" s="1">
        <v>0.55000000000000004</v>
      </c>
    </row>
    <row r="12" spans="1:2" x14ac:dyDescent="0.25">
      <c r="A12">
        <v>0</v>
      </c>
      <c r="B12" s="1">
        <v>0.5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7567-6E61-46E5-B0E8-43FA24008204}">
  <dimension ref="A1:G7"/>
  <sheetViews>
    <sheetView tabSelected="1" workbookViewId="0">
      <selection activeCell="E2" sqref="E2"/>
    </sheetView>
  </sheetViews>
  <sheetFormatPr defaultRowHeight="15" x14ac:dyDescent="0.25"/>
  <cols>
    <col min="1" max="3" width="15.7109375" customWidth="1"/>
    <col min="4" max="4" width="10.28515625" customWidth="1"/>
  </cols>
  <sheetData>
    <row r="1" spans="1:7" x14ac:dyDescent="0.25">
      <c r="A1" t="s">
        <v>31</v>
      </c>
      <c r="B1" t="s">
        <v>23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s="3" t="s">
        <v>21</v>
      </c>
      <c r="B2" t="s">
        <v>24</v>
      </c>
      <c r="C2" s="3">
        <v>60</v>
      </c>
      <c r="D2" s="3">
        <v>295</v>
      </c>
      <c r="E2" s="3">
        <v>1185</v>
      </c>
      <c r="F2" s="4">
        <v>13600.9</v>
      </c>
      <c r="G2" s="3">
        <v>1</v>
      </c>
    </row>
    <row r="3" spans="1:7" x14ac:dyDescent="0.25">
      <c r="A3" s="3" t="s">
        <v>20</v>
      </c>
      <c r="B3" t="s">
        <v>24</v>
      </c>
      <c r="C3" s="3">
        <v>10</v>
      </c>
      <c r="D3" s="3">
        <v>48</v>
      </c>
      <c r="E3" s="3">
        <v>165</v>
      </c>
      <c r="F3" s="3">
        <v>2097.1999999999998</v>
      </c>
      <c r="G3" s="3">
        <v>2</v>
      </c>
    </row>
    <row r="4" spans="1:7" x14ac:dyDescent="0.25">
      <c r="A4" s="3" t="s">
        <v>22</v>
      </c>
      <c r="B4" t="s">
        <v>24</v>
      </c>
      <c r="C4" s="3">
        <f>SUM(C2:C3)</f>
        <v>70</v>
      </c>
      <c r="D4" s="3">
        <f>SUM(D2:D3)</f>
        <v>343</v>
      </c>
      <c r="E4" s="3">
        <f>SUM(E2:E3)</f>
        <v>1350</v>
      </c>
      <c r="F4" s="3">
        <f>SUM(F2:F3)</f>
        <v>15698.099999999999</v>
      </c>
      <c r="G4" s="3">
        <v>3</v>
      </c>
    </row>
    <row r="5" spans="1:7" x14ac:dyDescent="0.25">
      <c r="A5" s="3" t="s">
        <v>21</v>
      </c>
      <c r="B5" t="s">
        <v>25</v>
      </c>
      <c r="C5" s="3">
        <v>51.7</v>
      </c>
      <c r="D5" s="3">
        <v>258.39999999999998</v>
      </c>
      <c r="E5" s="3">
        <v>1020.7</v>
      </c>
      <c r="F5" s="4">
        <v>11838.7</v>
      </c>
      <c r="G5" s="3">
        <v>1</v>
      </c>
    </row>
    <row r="6" spans="1:7" x14ac:dyDescent="0.25">
      <c r="A6" s="3" t="s">
        <v>20</v>
      </c>
      <c r="B6" t="s">
        <v>25</v>
      </c>
      <c r="C6" s="3">
        <v>8.1</v>
      </c>
      <c r="D6" s="3">
        <v>40.4</v>
      </c>
      <c r="E6" s="3">
        <v>159.6</v>
      </c>
      <c r="F6" s="3">
        <v>1759</v>
      </c>
      <c r="G6" s="3">
        <v>2</v>
      </c>
    </row>
    <row r="7" spans="1:7" x14ac:dyDescent="0.25">
      <c r="A7" s="3" t="s">
        <v>22</v>
      </c>
      <c r="B7" t="s">
        <v>25</v>
      </c>
      <c r="C7" s="3">
        <f>SUM(C5:C6)</f>
        <v>59.800000000000004</v>
      </c>
      <c r="D7" s="3">
        <f>SUM(D5:D6)</f>
        <v>298.79999999999995</v>
      </c>
      <c r="E7" s="3">
        <f>SUM(E5:E6)</f>
        <v>1180.3</v>
      </c>
      <c r="F7" s="3">
        <f>SUM(F5:F6)</f>
        <v>13597.7</v>
      </c>
      <c r="G7" s="3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3b433-0846-4060-9903-1b016609d792">
      <Terms xmlns="http://schemas.microsoft.com/office/infopath/2007/PartnerControls"/>
    </lcf76f155ced4ddcb4097134ff3c332f>
    <TaxCatchAll xmlns="b163b408-bd77-4a84-857d-b54f191a92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BE0699743DF942AE61D00F77B852A2" ma:contentTypeVersion="12" ma:contentTypeDescription="Create a new document." ma:contentTypeScope="" ma:versionID="e4af2c96720e12e2439bc64af56e7d0e">
  <xsd:schema xmlns:xsd="http://www.w3.org/2001/XMLSchema" xmlns:xs="http://www.w3.org/2001/XMLSchema" xmlns:p="http://schemas.microsoft.com/office/2006/metadata/properties" xmlns:ns2="0393b433-0846-4060-9903-1b016609d792" xmlns:ns3="b163b408-bd77-4a84-857d-b54f191a9280" targetNamespace="http://schemas.microsoft.com/office/2006/metadata/properties" ma:root="true" ma:fieldsID="fba7ecf614708bef9b96251e4b8e310e" ns2:_="" ns3:_="">
    <xsd:import namespace="0393b433-0846-4060-9903-1b016609d792"/>
    <xsd:import namespace="b163b408-bd77-4a84-857d-b54f191a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3b433-0846-4060-9903-1b016609d7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2bff3e9-86b2-4b18-aa60-9cb0d15fc8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3b408-bd77-4a84-857d-b54f191a928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ce3d439-acce-44b2-9cd0-167ddaa19e47}" ma:internalName="TaxCatchAll" ma:showField="CatchAllData" ma:web="b163b408-bd77-4a84-857d-b54f191a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2CAB1F-9CB7-49BD-AD64-C641DB18A7A3}">
  <ds:schemaRefs>
    <ds:schemaRef ds:uri="http://purl.org/dc/dcmitype/"/>
    <ds:schemaRef ds:uri="0393b433-0846-4060-9903-1b016609d792"/>
    <ds:schemaRef ds:uri="http://schemas.microsoft.com/office/2006/metadata/properties"/>
    <ds:schemaRef ds:uri="http://purl.org/dc/elements/1.1/"/>
    <ds:schemaRef ds:uri="http://schemas.microsoft.com/office/2006/documentManagement/types"/>
    <ds:schemaRef ds:uri="b163b408-bd77-4a84-857d-b54f191a9280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CC290AC-E37D-45BF-84A9-D5B4EAEE83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93b433-0846-4060-9903-1b016609d792"/>
    <ds:schemaRef ds:uri="b163b408-bd77-4a84-857d-b54f191a92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68CC35-E5FF-41E4-A95C-183D4EA220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EstHrsGoals (2)</vt:lpstr>
      <vt:lpstr>QC</vt:lpstr>
      <vt:lpstr>CB</vt:lpstr>
      <vt:lpstr>Compliments</vt:lpstr>
      <vt:lpstr>EstHrsGoals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_</dc:creator>
  <cp:lastModifiedBy>Moren, Stacy</cp:lastModifiedBy>
  <dcterms:created xsi:type="dcterms:W3CDTF">2023-08-15T18:45:18Z</dcterms:created>
  <dcterms:modified xsi:type="dcterms:W3CDTF">2026-02-06T02:01:42Z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0x010100A1BE0699743DF942AE61D00F77B852A2</vt:lpwstr>
  </property>
  <property fmtid="{D5CDD505-2E9C-101B-9397-08002B2CF9AE}" pid="3" name="MediaServiceImageTags">
    <vt:lpwstr/>
  </property>
</Properties>
</file>